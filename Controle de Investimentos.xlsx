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banko/Downloads/Curso Excel IA/"/>
    </mc:Choice>
  </mc:AlternateContent>
  <xr:revisionPtr revIDLastSave="0" documentId="13_ncr:1_{A8334712-D9FD-9644-A3B9-8F99F591AFD6}" xr6:coauthVersionLast="47" xr6:coauthVersionMax="47" xr10:uidLastSave="{00000000-0000-0000-0000-000000000000}"/>
  <bookViews>
    <workbookView xWindow="4440" yWindow="760" windowWidth="24960" windowHeight="16600" xr2:uid="{0E9BDEEF-31EB-2740-8D9C-D18046288325}"/>
  </bookViews>
  <sheets>
    <sheet name="Investimentos" sheetId="1" r:id="rId1"/>
    <sheet name="Tabela Apoio" sheetId="2" state="hidden" r:id="rId2"/>
  </sheets>
  <definedNames>
    <definedName name="_xlnm._FilterDatabase" localSheetId="0" hidden="1">Investimentos!$B$32:$B$38</definedName>
    <definedName name="aporte">Investimentos!$D$15</definedName>
    <definedName name="dividendos_mensais">Investimentos!$D$19</definedName>
    <definedName name="patrimonio_acumulado">Investimentos!$D$18</definedName>
    <definedName name="qtd_anos">Investimentos!$D$16</definedName>
    <definedName name="rendimento_carteira">Investimentos!$D$11</definedName>
    <definedName name="salario">Investimentos!$B$10</definedName>
    <definedName name="sugestao_investimento">Investimentos!$B$12</definedName>
    <definedName name="taxa_mensal">Investimentos!$D$17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3" i="1"/>
  <c r="A10" i="2"/>
  <c r="C37" i="1" s="1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4" i="1" s="1"/>
  <c r="C30" i="1"/>
  <c r="D34" i="1" l="1"/>
  <c r="D37" i="1"/>
  <c r="D33" i="1"/>
  <c r="D38" i="1"/>
  <c r="G3" i="2"/>
  <c r="C36" i="1"/>
  <c r="D36" i="1" s="1"/>
  <c r="C35" i="1"/>
  <c r="D35" i="1" s="1"/>
  <c r="D39" i="1" s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<sst xmlns="http://schemas.openxmlformats.org/spreadsheetml/2006/main" count="71" uniqueCount="34">
  <si>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</si>
  <si>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</si>
  <si>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</si>
  <si>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</si>
  <si>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</si>
  <si>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</si>
  <si>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</si>
  <si>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</si>
  <si>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</si>
  <si>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</si>
  <si>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</si>
  <si>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</si>
  <si>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</si>
  <si>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</si>
  <si>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Sugestão de Investimento</t>
  </si>
  <si>
    <t>INVESTIMENTO MENSAL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</si>
  <si>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</si>
  <si>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</si>
  <si>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</si>
  <si>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</si>
  <si>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</si>
  <si>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</si>
  <si>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</si>
  <si>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</si>
  <si>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</si>
  <si>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</si>
  <si>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</si>
  <si>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</si>
  <si>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</si>
  <si>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</si>
  <si>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</si>
  <si>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</si>
  <si>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 xml:space="preserve">CHAVE 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</si>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</sst>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0"/>
      <name val="Aptos Narrow"/>
      <scheme val="minor"/>
    </font>
    <font>
      <b/>
      <sz val="18"/>
      <color theme="0"/>
      <name val="Segoe UI"/>
    </font>
    <font>
      <b/>
      <sz val="20"/>
      <color theme="0"/>
      <name val="Segoe UI"/>
    </font>
    <font>
      <b/>
      <sz val="14"/>
      <color theme="0"/>
      <name val="Segoe UI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5" fontId="0" fillId="0" borderId="0" xfId="0" applyNumberFormat="1"/>
    <xf numFmtId="0" fontId="5" fillId="6" borderId="2" xfId="0" applyFont="1" applyFill="1" applyBorder="1" applyAlignment="1">
      <alignment vertical="center"/>
    </xf>
    <xf numFmtId="0" fontId="4" fillId="5" borderId="4" xfId="0" applyFont="1" applyFill="1" applyBorder="1"/>
    <xf numFmtId="0" fontId="4" fillId="5" borderId="7" xfId="0" applyFont="1" applyFill="1" applyBorder="1"/>
    <xf numFmtId="0" fontId="4" fillId="5" borderId="9" xfId="0" applyFont="1" applyFill="1" applyBorder="1"/>
    <xf numFmtId="0" fontId="8" fillId="3" borderId="2" xfId="0" applyFont="1" applyFill="1" applyBorder="1" applyAlignment="1">
      <alignment horizontal="center" vertical="center"/>
    </xf>
    <xf numFmtId="164" fontId="9" fillId="7" borderId="20" xfId="0" applyNumberFormat="1" applyFont="1" applyFill="1" applyBorder="1" applyAlignment="1">
      <alignment horizontal="center" vertical="center"/>
    </xf>
    <xf numFmtId="8" fontId="10" fillId="4" borderId="17" xfId="0" applyNumberFormat="1" applyFont="1" applyFill="1" applyBorder="1" applyAlignment="1">
      <alignment horizontal="center" vertical="center"/>
    </xf>
    <xf numFmtId="8" fontId="10" fillId="4" borderId="20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  <xf numFmtId="164" fontId="11" fillId="5" borderId="8" xfId="0" applyNumberFormat="1" applyFont="1" applyFill="1" applyBorder="1" applyAlignment="1">
      <alignment horizontal="center" vertical="center"/>
    </xf>
    <xf numFmtId="164" fontId="11" fillId="5" borderId="10" xfId="0" applyNumberFormat="1" applyFont="1" applyFill="1" applyBorder="1" applyAlignment="1">
      <alignment horizontal="center" vertical="center"/>
    </xf>
    <xf numFmtId="164" fontId="11" fillId="5" borderId="11" xfId="0" applyNumberFormat="1" applyFont="1" applyFill="1" applyBorder="1" applyAlignment="1">
      <alignment horizontal="center" vertical="center"/>
    </xf>
    <xf numFmtId="0" fontId="1" fillId="2" borderId="0" xfId="1" applyBorder="1"/>
    <xf numFmtId="0" fontId="1" fillId="2" borderId="0" xfId="1"/>
    <xf numFmtId="0" fontId="0" fillId="7" borderId="0" xfId="0" applyFill="1"/>
    <xf numFmtId="0" fontId="0" fillId="0" borderId="0" xfId="0" applyAlignment="1">
      <alignment horizontal="center" vertical="center"/>
    </xf>
    <xf numFmtId="0" fontId="1" fillId="2" borderId="0" xfId="1" applyAlignment="1">
      <alignment horizontal="center"/>
    </xf>
    <xf numFmtId="164" fontId="0" fillId="7" borderId="0" xfId="0" applyNumberForma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164" fontId="3" fillId="8" borderId="0" xfId="0" applyNumberFormat="1" applyFont="1" applyFill="1" applyAlignment="1">
      <alignment horizontal="center"/>
    </xf>
    <xf numFmtId="9" fontId="12" fillId="0" borderId="0" xfId="0" applyNumberFormat="1" applyFont="1" applyAlignment="1">
      <alignment horizontal="left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9" fontId="12" fillId="0" borderId="21" xfId="0" applyNumberFormat="1" applyFont="1" applyBorder="1" applyAlignment="1">
      <alignment horizontal="left"/>
    </xf>
    <xf numFmtId="0" fontId="0" fillId="0" borderId="21" xfId="0" applyBorder="1" applyAlignment="1">
      <alignment horizontal="left" vertical="center"/>
    </xf>
    <xf numFmtId="9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7" borderId="18" xfId="0" applyFill="1" applyBorder="1" applyAlignment="1">
      <alignment horizontal="left" vertical="center"/>
    </xf>
    <xf numFmtId="0" fontId="0" fillId="7" borderId="19" xfId="0" applyFill="1" applyBorder="1" applyAlignment="1">
      <alignment horizontal="left" vertical="center"/>
    </xf>
    <xf numFmtId="0" fontId="4" fillId="7" borderId="12" xfId="0" applyFont="1" applyFill="1" applyBorder="1" applyAlignment="1">
      <alignment horizontal="left" vertical="center"/>
    </xf>
    <xf numFmtId="0" fontId="4" fillId="7" borderId="13" xfId="0" applyFont="1" applyFill="1" applyBorder="1" applyAlignment="1">
      <alignment horizontal="left" vertical="center"/>
    </xf>
    <xf numFmtId="0" fontId="4" fillId="7" borderId="15" xfId="0" applyFont="1" applyFill="1" applyBorder="1" applyAlignment="1">
      <alignment horizontal="left" vertical="center"/>
    </xf>
    <xf numFmtId="0" fontId="4" fillId="7" borderId="16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164" fontId="9" fillId="0" borderId="14" xfId="0" applyNumberFormat="1" applyFont="1" applyBorder="1" applyAlignment="1" applyProtection="1">
      <alignment horizontal="center" vertical="center"/>
      <protection locked="0"/>
    </xf>
    <xf numFmtId="10" fontId="9" fillId="0" borderId="17" xfId="0" applyNumberFormat="1" applyFont="1" applyBorder="1" applyAlignment="1" applyProtection="1">
      <alignment horizontal="center" vertical="center"/>
      <protection locked="0"/>
    </xf>
    <xf numFmtId="164" fontId="10" fillId="0" borderId="14" xfId="0" applyNumberFormat="1" applyFont="1" applyBorder="1" applyAlignment="1" applyProtection="1">
      <alignment horizontal="center" vertical="center"/>
      <protection locked="0"/>
    </xf>
    <xf numFmtId="1" fontId="10" fillId="0" borderId="17" xfId="0" applyNumberFormat="1" applyFont="1" applyBorder="1" applyAlignment="1" applyProtection="1">
      <alignment horizontal="center" vertical="center"/>
      <protection locked="0"/>
    </xf>
    <xf numFmtId="10" fontId="10" fillId="0" borderId="17" xfId="0" applyNumberFormat="1" applyFont="1" applyBorder="1" applyAlignment="1" applyProtection="1">
      <alignment horizontal="center" vertical="center"/>
      <protection locked="0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Investimentos!$C$32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C0-8149-93B9-CE0EDEC7CB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C0-8149-93B9-CE0EDEC7CB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C0-8149-93B9-CE0EDEC7CB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C0-8149-93B9-CE0EDEC7CB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C0-8149-93B9-CE0EDEC7CB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C0-8149-93B9-CE0EDEC7CB4D}"/>
              </c:ext>
            </c:extLst>
          </c:dPt>
          <c:cat>
            <c:strRef>
              <c:f>Investimentos!$B$33:$B$38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C-1941-8D1A-1E7F9AA1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431800</xdr:colOff>
      <xdr:row>0</xdr:row>
      <xdr:rowOff>114299</xdr:rowOff>
    </xdr:from>
    <xdr:to>
      <xdr:col>4</xdr:col>
      <xdr:colOff>355600</xdr:colOff>
      <xdr:row>7</xdr:row>
      <xdr:rowOff>48605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9009B28-5030-F8FE-912F-9D633A52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114299"/>
          <a:ext cx="7112000" cy="1356706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41</xdr:row>
      <xdr:rowOff>12700</xdr:rowOff>
    </xdr:from>
    <xdr:to>
      <xdr:col>3</xdr:col>
      <xdr:colOff>1498600</xdr:colOff>
      <xdr:row>56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710C45-D13D-F465-7D65-7360F17FD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663E-8952-1B49-B2B1-A1D2F87C7CDC}">
  <dimension ref="A8:XFC39"/>
  <sheetViews>
    <sheetView showGridLines="0" showRowColHeaders="0" tabSelected="1" zoomScaleNormal="10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" x14ac:dyDescent="0.2"/>
  <cols>
    <col min="1" max="1" width="9.83203125" customWidth="1"/>
    <col min="2" max="2" width="33.5" customWidth="1"/>
    <col min="3" max="3" width="29" bestFit="1" customWidth="1"/>
    <col min="4" max="4" width="22" customWidth="1"/>
    <col min="5" max="5" width="5.5" customWidth="1"/>
    <col min="6" max="6" width="3" customWidth="1"/>
    <col min="7" max="7" width="2.5" customWidth="1"/>
    <col min="8" max="8" width="2.6640625" hidden="1" customWidth="1"/>
    <col min="9" max="11" width="10.83203125" hidden="1" customWidth="1"/>
    <col min="12" max="16383" width="10.83203125" hidden="1"/>
    <col min="16384" max="16384" width="2.1640625" hidden="1" customWidth="1"/>
  </cols>
  <sheetData>
    <row r="8" spans="2:4" ht="17" thickBot="1" x14ac:dyDescent="0.25"/>
    <row r="9" spans="2:4" ht="26" x14ac:dyDescent="0.2">
      <c r="B9" s="47" t="s">
        <v>16</v>
      </c>
      <c r="C9" s="48"/>
      <c r="D9" s="5"/>
    </row>
    <row r="10" spans="2:4" x14ac:dyDescent="0.2">
      <c r="B10" s="55" t="s">
        <v>13</v>
      </c>
      <c r="C10" s="56"/>
      <c r="D10" s="57">
        <v>2000</v>
      </c>
    </row>
    <row r="11" spans="2:4" x14ac:dyDescent="0.2">
      <c r="B11" s="43" t="s">
        <v>12</v>
      </c>
      <c r="C11" s="44"/>
      <c r="D11" s="58">
        <v>6.0000000000000001E-3</v>
      </c>
    </row>
    <row r="12" spans="2:4" ht="17" thickBot="1" x14ac:dyDescent="0.25">
      <c r="B12" s="49" t="s">
        <v>14</v>
      </c>
      <c r="C12" s="50"/>
      <c r="D12" s="10">
        <f>D10*30%</f>
        <v>600</v>
      </c>
    </row>
    <row r="13" spans="2:4" ht="18" customHeight="1" thickBot="1" x14ac:dyDescent="0.25"/>
    <row r="14" spans="2:4" ht="18" customHeight="1" x14ac:dyDescent="0.2">
      <c r="B14" s="40" t="s">
        <v>15</v>
      </c>
      <c r="C14" s="41"/>
      <c r="D14" s="42"/>
    </row>
    <row r="15" spans="2:4" x14ac:dyDescent="0.2">
      <c r="B15" s="51" t="s">
        <v>0</v>
      </c>
      <c r="C15" s="52"/>
      <c r="D15" s="59">
        <v>200</v>
      </c>
    </row>
    <row r="16" spans="2:4" x14ac:dyDescent="0.2">
      <c r="B16" s="53" t="s">
        <v>1</v>
      </c>
      <c r="C16" s="54"/>
      <c r="D16" s="60">
        <v>5</v>
      </c>
    </row>
    <row r="17" spans="1:10" x14ac:dyDescent="0.2">
      <c r="B17" s="53" t="s">
        <v>2</v>
      </c>
      <c r="C17" s="54"/>
      <c r="D17" s="61">
        <v>1.0789999999999999E-2</v>
      </c>
    </row>
    <row r="18" spans="1:10" x14ac:dyDescent="0.2">
      <c r="B18" s="36" t="s">
        <v>3</v>
      </c>
      <c r="C18" s="37"/>
      <c r="D18" s="11">
        <f>FV(taxa_mensal,qtd_anos*12,aporte)*-1</f>
        <v>16755.382799697527</v>
      </c>
    </row>
    <row r="19" spans="1:10" ht="17" thickBot="1" x14ac:dyDescent="0.25">
      <c r="B19" s="38" t="s">
        <v>4</v>
      </c>
      <c r="C19" s="39"/>
      <c r="D19" s="12">
        <f>patrimonio_acumulado*rendimento_carteira</f>
        <v>100.53229679818516</v>
      </c>
    </row>
    <row r="20" spans="1:10" ht="18" customHeight="1" thickBot="1" x14ac:dyDescent="0.25"/>
    <row r="21" spans="1:10" ht="22" customHeight="1" x14ac:dyDescent="0.2">
      <c r="B21" s="45" t="s">
        <v>10</v>
      </c>
      <c r="C21" s="46"/>
      <c r="D21" s="9" t="s">
        <v>11</v>
      </c>
    </row>
    <row r="22" spans="1:10" x14ac:dyDescent="0.2">
      <c r="B22" s="6" t="s">
        <v>5</v>
      </c>
      <c r="C22" s="13">
        <f>FV($D$17,$A30*12,$D$15)*-1</f>
        <v>5445.5254595290435</v>
      </c>
      <c r="D22" s="14">
        <f>C22*rendimento_carteira</f>
        <v>32.673152757174265</v>
      </c>
    </row>
    <row r="23" spans="1:10" x14ac:dyDescent="0.2">
      <c r="B23" s="7" t="s">
        <v>6</v>
      </c>
      <c r="C23" s="15">
        <f>FV($D$17,$A31*12,$D$15)*-1</f>
        <v>16755.382799697527</v>
      </c>
      <c r="D23" s="14">
        <f>C23*rendimento_carteira</f>
        <v>100.53229679818516</v>
      </c>
    </row>
    <row r="24" spans="1:10" x14ac:dyDescent="0.2">
      <c r="B24" s="7" t="s">
        <v>7</v>
      </c>
      <c r="C24" s="15">
        <f>FV($D$17,$A32*12,$D$15)*-1</f>
        <v>48656.842506034438</v>
      </c>
      <c r="D24" s="14">
        <f>C24*rendimento_carteira</f>
        <v>291.94105503620665</v>
      </c>
    </row>
    <row r="25" spans="1:10" x14ac:dyDescent="0.2">
      <c r="B25" s="7" t="s">
        <v>8</v>
      </c>
      <c r="C25" s="15">
        <f>FV($D$17,$A33*12,$D$15)*-1</f>
        <v>225039.68001941612</v>
      </c>
      <c r="D25" s="14">
        <f>C25*rendimento_carteira</f>
        <v>1350.2380801164968</v>
      </c>
    </row>
    <row r="26" spans="1:10" ht="17" thickBot="1" x14ac:dyDescent="0.25">
      <c r="B26" s="8" t="s">
        <v>9</v>
      </c>
      <c r="C26" s="16">
        <f>FV($D$17,$A34*12,$D$15)*-1</f>
        <v>864433.93100094295</v>
      </c>
      <c r="D26" s="17">
        <f>C26*rendimento_carteira</f>
        <v>5186.6035860056581</v>
      </c>
    </row>
    <row r="27" spans="1:10" x14ac:dyDescent="0.2">
      <c r="J27" s="4"/>
    </row>
    <row r="29" spans="1:10" x14ac:dyDescent="0.2">
      <c r="B29" s="18" t="s">
        <v>21</v>
      </c>
      <c r="C29" s="22" t="s">
        <v>17</v>
      </c>
      <c r="D29" s="19"/>
    </row>
    <row r="30" spans="1:10" x14ac:dyDescent="0.2">
      <c r="A30" s="1">
        <v>2</v>
      </c>
      <c r="B30" s="24" t="s">
        <v>20</v>
      </c>
      <c r="C30" s="25">
        <f>aporte</f>
        <v>200</v>
      </c>
      <c r="D30" s="20"/>
    </row>
    <row r="31" spans="1:10" x14ac:dyDescent="0.2">
      <c r="A31" s="1">
        <v>5</v>
      </c>
    </row>
    <row r="32" spans="1:10" x14ac:dyDescent="0.2">
      <c r="A32" s="1">
        <v>10</v>
      </c>
      <c r="B32" s="26" t="s">
        <v>22</v>
      </c>
      <c r="C32" s="26" t="s">
        <v>23</v>
      </c>
      <c r="D32" s="26" t="s">
        <v>24</v>
      </c>
    </row>
    <row r="33" spans="1:4" x14ac:dyDescent="0.2">
      <c r="A33" s="1">
        <v>20</v>
      </c>
      <c r="B33" s="2" t="s">
        <v>25</v>
      </c>
      <c r="C33" s="3">
        <f>VLOOKUP($C$29&amp;"-"&amp;B33,'Tabela Apoio'!$A$3:$D$20,4,FALSE)</f>
        <v>0.3</v>
      </c>
      <c r="D33" s="23">
        <f>$C$30*C33</f>
        <v>60</v>
      </c>
    </row>
    <row r="34" spans="1:4" x14ac:dyDescent="0.2">
      <c r="A34" s="1">
        <v>30</v>
      </c>
      <c r="B34" s="2" t="s">
        <v>26</v>
      </c>
      <c r="C34" s="3">
        <f>VLOOKUP($C$29&amp;"-"&amp;B34,'Tabela Apoio'!$A$3:$D$20,4,FALSE)</f>
        <v>0.5</v>
      </c>
      <c r="D34" s="23">
        <f t="shared" ref="D34:D38" si="0">$C$30*C34</f>
        <v>100</v>
      </c>
    </row>
    <row r="35" spans="1:4" x14ac:dyDescent="0.2">
      <c r="B35" s="2" t="s">
        <v>27</v>
      </c>
      <c r="C35" s="3">
        <f>VLOOKUP($C$29&amp;"-"&amp;B35,'Tabela Apoio'!$A$3:$D$20,4,FALSE)</f>
        <v>0.1</v>
      </c>
      <c r="D35" s="23">
        <f t="shared" si="0"/>
        <v>20</v>
      </c>
    </row>
    <row r="36" spans="1:4" x14ac:dyDescent="0.2">
      <c r="B36" s="2" t="s">
        <v>28</v>
      </c>
      <c r="C36" s="3">
        <f>VLOOKUP($C$29&amp;"-"&amp;B36,'Tabela Apoio'!$A$3:$D$20,4,FALSE)</f>
        <v>0.1</v>
      </c>
      <c r="D36" s="23">
        <f t="shared" si="0"/>
        <v>20</v>
      </c>
    </row>
    <row r="37" spans="1:4" x14ac:dyDescent="0.2">
      <c r="B37" s="2" t="s">
        <v>29</v>
      </c>
      <c r="C37" s="3">
        <f>VLOOKUP($C$29&amp;"-"&amp;B37,'Tabela Apoio'!$A$3:$D$20,4,FALSE)</f>
        <v>0</v>
      </c>
      <c r="D37" s="23">
        <f t="shared" si="0"/>
        <v>0</v>
      </c>
    </row>
    <row r="38" spans="1:4" x14ac:dyDescent="0.2">
      <c r="B38" s="2" t="s">
        <v>30</v>
      </c>
      <c r="C38" s="3">
        <f>VLOOKUP($C$29&amp;"-"&amp;B38,'Tabela Apoio'!$A$3:$D$20,4,FALSE)</f>
        <v>0</v>
      </c>
      <c r="D38" s="23">
        <f t="shared" si="0"/>
        <v>0</v>
      </c>
    </row>
    <row r="39" spans="1:4" x14ac:dyDescent="0.2">
      <c r="B39" s="27"/>
      <c r="C39" s="27"/>
      <c r="D39" s="28">
        <f>SUM(D33:D38)</f>
        <v>200</v>
      </c>
    </row>
  </sheetData>
  <sheetProtection sheet="1" objects="1" scenarios="1" selectLockedCells="1"/>
  <mergeCells count="11">
    <mergeCell ref="B9:C9"/>
    <mergeCell ref="B12:C12"/>
    <mergeCell ref="B15:C15"/>
    <mergeCell ref="B16:C16"/>
    <mergeCell ref="B17:C17"/>
    <mergeCell ref="B10:C10"/>
    <mergeCell ref="B18:C18"/>
    <mergeCell ref="B19:C19"/>
    <mergeCell ref="B14:D14"/>
    <mergeCell ref="B11:C11"/>
    <mergeCell ref="B21:C21"/>
  </mergeCells>
  <dataValidations count="1">
    <dataValidation type="list" allowBlank="1" showInputMessage="1" showErrorMessage="1" sqref="C29" xr:uid="{A88F62C1-D6BB-CC4B-BA1C-1CCDCFC896D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BA17-7A0B-774A-9665-3A8E6BA01570}">
  <dimension ref="A2:G20"/>
  <sheetViews>
    <sheetView workbookViewId="0">
      <selection activeCell="A2" sqref="A2:D20"/>
    </sheetView>
  </sheetViews>
  <sheetFormatPr baseColWidth="10" defaultRowHeight="16" x14ac:dyDescent="0.2"/>
  <cols>
    <col min="1" max="1" width="29" bestFit="1" customWidth="1"/>
    <col min="2" max="2" width="11.5" bestFit="1" customWidth="1"/>
    <col min="3" max="3" width="17.6640625" bestFit="1" customWidth="1"/>
    <col min="6" max="6" width="15.5" bestFit="1" customWidth="1"/>
  </cols>
  <sheetData>
    <row r="2" spans="1:7" x14ac:dyDescent="0.2">
      <c r="A2" s="30" t="s">
        <v>32</v>
      </c>
      <c r="B2" s="31" t="s">
        <v>21</v>
      </c>
      <c r="C2" s="31" t="s">
        <v>22</v>
      </c>
      <c r="D2" s="31" t="s">
        <v>31</v>
      </c>
      <c r="G2" s="21" t="s">
        <v>31</v>
      </c>
    </row>
    <row r="3" spans="1:7" x14ac:dyDescent="0.2">
      <c r="A3" s="32" t="str">
        <f>B3&amp;"-"&amp;C3</f>
        <v>Conservador-PAPEL</v>
      </c>
      <c r="B3" s="33" t="s">
        <v>17</v>
      </c>
      <c r="C3" s="31" t="s">
        <v>25</v>
      </c>
      <c r="D3" s="34">
        <v>0.3</v>
      </c>
      <c r="F3" s="19" t="s">
        <v>33</v>
      </c>
      <c r="G3" s="19">
        <f>VLOOKUP('Tabela Apoio'!F3,'Tabela Apoio'!$A$3:$D$20,4,FALSE)</f>
        <v>0.35</v>
      </c>
    </row>
    <row r="4" spans="1:7" x14ac:dyDescent="0.2">
      <c r="A4" s="32" t="str">
        <f t="shared" ref="A4:A8" si="0">B4&amp;"-"&amp;C4</f>
        <v>Conservador-TIJOLO</v>
      </c>
      <c r="B4" s="33" t="s">
        <v>17</v>
      </c>
      <c r="C4" s="31" t="s">
        <v>26</v>
      </c>
      <c r="D4" s="34">
        <v>0.5</v>
      </c>
      <c r="F4" s="29"/>
    </row>
    <row r="5" spans="1:7" x14ac:dyDescent="0.2">
      <c r="A5" s="32" t="str">
        <f t="shared" si="0"/>
        <v>Conservador-HÍBRIDOS</v>
      </c>
      <c r="B5" s="33" t="s">
        <v>17</v>
      </c>
      <c r="C5" s="31" t="s">
        <v>27</v>
      </c>
      <c r="D5" s="34">
        <v>0.1</v>
      </c>
    </row>
    <row r="6" spans="1:7" x14ac:dyDescent="0.2">
      <c r="A6" s="32" t="str">
        <f t="shared" si="0"/>
        <v>Conservador-FOFs</v>
      </c>
      <c r="B6" s="33" t="s">
        <v>17</v>
      </c>
      <c r="C6" s="31" t="s">
        <v>28</v>
      </c>
      <c r="D6" s="34">
        <v>0.1</v>
      </c>
    </row>
    <row r="7" spans="1:7" x14ac:dyDescent="0.2">
      <c r="A7" s="32" t="str">
        <f t="shared" si="0"/>
        <v>Conservador-DESENVOLVIMENTO</v>
      </c>
      <c r="B7" s="33" t="s">
        <v>17</v>
      </c>
      <c r="C7" s="31" t="s">
        <v>29</v>
      </c>
      <c r="D7" s="34">
        <v>0</v>
      </c>
    </row>
    <row r="8" spans="1:7" x14ac:dyDescent="0.2">
      <c r="A8" s="32" t="str">
        <f t="shared" si="0"/>
        <v>Conservador-HOTELARIAS</v>
      </c>
      <c r="B8" s="33" t="s">
        <v>17</v>
      </c>
      <c r="C8" s="31" t="s">
        <v>30</v>
      </c>
      <c r="D8" s="34">
        <v>0</v>
      </c>
    </row>
    <row r="9" spans="1:7" x14ac:dyDescent="0.2">
      <c r="A9" s="32" t="str">
        <f>B9&amp;"-"&amp;C9</f>
        <v>Moderado-PAPEL</v>
      </c>
      <c r="B9" s="35" t="s">
        <v>18</v>
      </c>
      <c r="C9" s="31" t="s">
        <v>25</v>
      </c>
      <c r="D9" s="34">
        <v>0.32</v>
      </c>
    </row>
    <row r="10" spans="1:7" x14ac:dyDescent="0.2">
      <c r="A10" s="32" t="str">
        <f t="shared" ref="A10:A20" si="1">B10&amp;"-"&amp;C10</f>
        <v>Moderado-TIJOLO</v>
      </c>
      <c r="B10" s="35" t="s">
        <v>18</v>
      </c>
      <c r="C10" s="31" t="s">
        <v>26</v>
      </c>
      <c r="D10" s="34">
        <v>0.35</v>
      </c>
    </row>
    <row r="11" spans="1:7" x14ac:dyDescent="0.2">
      <c r="A11" s="32" t="str">
        <f t="shared" si="1"/>
        <v>Moderado-HÍBRIDOS</v>
      </c>
      <c r="B11" s="35" t="s">
        <v>18</v>
      </c>
      <c r="C11" s="31" t="s">
        <v>27</v>
      </c>
      <c r="D11" s="34">
        <v>0.08</v>
      </c>
    </row>
    <row r="12" spans="1:7" x14ac:dyDescent="0.2">
      <c r="A12" s="32" t="str">
        <f t="shared" si="1"/>
        <v>Moderado-FOFs</v>
      </c>
      <c r="B12" s="35" t="s">
        <v>18</v>
      </c>
      <c r="C12" s="31" t="s">
        <v>28</v>
      </c>
      <c r="D12" s="34">
        <v>0.05</v>
      </c>
    </row>
    <row r="13" spans="1:7" x14ac:dyDescent="0.2">
      <c r="A13" s="32" t="str">
        <f t="shared" si="1"/>
        <v>Moderado-DESENVOLVIMENTO</v>
      </c>
      <c r="B13" s="35" t="s">
        <v>18</v>
      </c>
      <c r="C13" s="31" t="s">
        <v>29</v>
      </c>
      <c r="D13" s="34">
        <v>0.1</v>
      </c>
    </row>
    <row r="14" spans="1:7" x14ac:dyDescent="0.2">
      <c r="A14" s="32" t="str">
        <f t="shared" si="1"/>
        <v>Moderado-HOTELARIAS</v>
      </c>
      <c r="B14" s="35" t="s">
        <v>18</v>
      </c>
      <c r="C14" s="31" t="s">
        <v>30</v>
      </c>
      <c r="D14" s="34">
        <v>0.1</v>
      </c>
    </row>
    <row r="15" spans="1:7" x14ac:dyDescent="0.2">
      <c r="A15" s="32" t="str">
        <f t="shared" si="1"/>
        <v>Agressivo-PAPEL</v>
      </c>
      <c r="B15" s="35" t="s">
        <v>19</v>
      </c>
      <c r="C15" s="31" t="s">
        <v>25</v>
      </c>
      <c r="D15" s="34">
        <v>0.5</v>
      </c>
    </row>
    <row r="16" spans="1:7" x14ac:dyDescent="0.2">
      <c r="A16" s="32" t="str">
        <f t="shared" si="1"/>
        <v>Agressivo-TIJOLO</v>
      </c>
      <c r="B16" s="35" t="s">
        <v>19</v>
      </c>
      <c r="C16" s="31" t="s">
        <v>26</v>
      </c>
      <c r="D16" s="34">
        <v>0.1</v>
      </c>
    </row>
    <row r="17" spans="1:4" x14ac:dyDescent="0.2">
      <c r="A17" s="32" t="str">
        <f t="shared" si="1"/>
        <v>Agressivo-HÍBRIDOS</v>
      </c>
      <c r="B17" s="35" t="s">
        <v>19</v>
      </c>
      <c r="C17" s="31" t="s">
        <v>27</v>
      </c>
      <c r="D17" s="34">
        <v>0.05</v>
      </c>
    </row>
    <row r="18" spans="1:4" x14ac:dyDescent="0.2">
      <c r="A18" s="32" t="str">
        <f t="shared" si="1"/>
        <v>Agressivo-FOFs</v>
      </c>
      <c r="B18" s="35" t="s">
        <v>19</v>
      </c>
      <c r="C18" s="31" t="s">
        <v>28</v>
      </c>
      <c r="D18" s="34">
        <v>0.05</v>
      </c>
    </row>
    <row r="19" spans="1:4" x14ac:dyDescent="0.2">
      <c r="A19" s="32" t="str">
        <f t="shared" si="1"/>
        <v>Agressivo-DESENVOLVIMENTO</v>
      </c>
      <c r="B19" s="35" t="s">
        <v>19</v>
      </c>
      <c r="C19" s="31" t="s">
        <v>29</v>
      </c>
      <c r="D19" s="34">
        <v>0.2</v>
      </c>
    </row>
    <row r="20" spans="1:4" x14ac:dyDescent="0.2">
      <c r="A20" s="32" t="str">
        <f t="shared" si="1"/>
        <v>Agressivo-HOTELARIAS</v>
      </c>
      <c r="B20" s="35" t="s">
        <v>19</v>
      </c>
      <c r="C20" s="31" t="s">
        <v>30</v>
      </c>
      <c r="D20" s="3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Investimentos</vt:lpstr>
      <vt:lpstr>Tabela Apoio</vt:lpstr>
      <vt:lpstr>aporte</vt:lpstr>
      <vt:lpstr>dividendos_mensais</vt:lpstr>
      <vt:lpstr>patrimonio_acumulado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Layssa Chaves Santos</dc:creator>
  <cp:lastModifiedBy>Sarah Banko</cp:lastModifiedBy>
  <dcterms:created xsi:type="dcterms:W3CDTF">2025-12-13T21:56:13Z</dcterms:created>
  <dcterms:modified xsi:type="dcterms:W3CDTF">2025-12-18T02:23:05Z</dcterms:modified>
</cp:coreProperties>
</file>